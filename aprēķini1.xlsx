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se4\Downloads\202425_datorika10\Izklājlapas\"/>
    </mc:Choice>
  </mc:AlternateContent>
  <xr:revisionPtr revIDLastSave="0" documentId="8_{9BCC4607-919A-4422-86BD-EB6A45A6C05C}" xr6:coauthVersionLast="47" xr6:coauthVersionMax="47" xr10:uidLastSave="{00000000-0000-0000-0000-000000000000}"/>
  <bookViews>
    <workbookView xWindow="13065" yWindow="2220" windowWidth="14205" windowHeight="12270" firstSheet="5" activeTab="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8" l="1"/>
  <c r="F7" i="8"/>
  <c r="F16" i="8"/>
  <c r="F15" i="8"/>
  <c r="F14" i="8"/>
  <c r="F13" i="8"/>
  <c r="F12" i="8"/>
  <c r="F11" i="8"/>
  <c r="B4" i="4"/>
  <c r="B6" i="4"/>
  <c r="B7" i="4"/>
  <c r="B8" i="4"/>
  <c r="B9" i="4"/>
  <c r="B10" i="4"/>
  <c r="B11" i="4"/>
  <c r="B12" i="4"/>
  <c r="B13" i="4"/>
  <c r="B5" i="4"/>
  <c r="E5" i="5"/>
  <c r="E6" i="5"/>
  <c r="E7" i="5"/>
  <c r="E8" i="5"/>
  <c r="E9" i="5"/>
  <c r="E10" i="5"/>
  <c r="E11" i="5"/>
  <c r="E12" i="5"/>
  <c r="E13" i="5"/>
  <c r="E14" i="5"/>
  <c r="E15" i="5"/>
  <c r="E4" i="5"/>
  <c r="G6" i="6"/>
  <c r="G7" i="6"/>
  <c r="G8" i="6"/>
  <c r="G5" i="6"/>
  <c r="F6" i="6"/>
  <c r="F7" i="6"/>
  <c r="F8" i="6"/>
  <c r="F5" i="6"/>
  <c r="E6" i="6"/>
  <c r="E7" i="6"/>
  <c r="E8" i="6"/>
  <c r="E5" i="6"/>
  <c r="D6" i="6"/>
  <c r="D7" i="6"/>
  <c r="D8" i="6"/>
  <c r="D5" i="6"/>
  <c r="K10" i="7"/>
  <c r="K11" i="7"/>
  <c r="K12" i="7"/>
  <c r="K13" i="7"/>
  <c r="K14" i="7"/>
  <c r="K15" i="7"/>
  <c r="K16" i="7"/>
  <c r="K17" i="7"/>
  <c r="K18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H10" i="7"/>
  <c r="H11" i="7"/>
  <c r="H12" i="7"/>
  <c r="H13" i="7"/>
  <c r="H14" i="7"/>
  <c r="H15" i="7"/>
  <c r="H16" i="7"/>
  <c r="H17" i="7"/>
  <c r="H18" i="7"/>
  <c r="G10" i="7"/>
  <c r="G11" i="7"/>
  <c r="G12" i="7"/>
  <c r="G13" i="7"/>
  <c r="G14" i="7"/>
  <c r="G15" i="7"/>
  <c r="G16" i="7"/>
  <c r="G17" i="7"/>
  <c r="G18" i="7"/>
  <c r="F10" i="7"/>
  <c r="F11" i="7"/>
  <c r="F12" i="7"/>
  <c r="F13" i="7"/>
  <c r="F14" i="7"/>
  <c r="F15" i="7"/>
  <c r="F16" i="7"/>
  <c r="F17" i="7"/>
  <c r="F18" i="7"/>
  <c r="E10" i="7"/>
  <c r="E11" i="7"/>
  <c r="E12" i="7"/>
  <c r="E13" i="7"/>
  <c r="E14" i="7"/>
  <c r="E15" i="7"/>
  <c r="E16" i="7"/>
  <c r="E17" i="7"/>
  <c r="E18" i="7"/>
  <c r="D10" i="7"/>
  <c r="D11" i="7"/>
  <c r="D12" i="7"/>
  <c r="D13" i="7"/>
  <c r="D14" i="7"/>
  <c r="D15" i="7"/>
  <c r="D16" i="7"/>
  <c r="D17" i="7"/>
  <c r="D18" i="7"/>
  <c r="C10" i="7"/>
  <c r="C11" i="7"/>
  <c r="C12" i="7"/>
  <c r="C13" i="7"/>
  <c r="C14" i="7"/>
  <c r="C15" i="7"/>
  <c r="C16" i="7"/>
  <c r="C17" i="7"/>
  <c r="C18" i="7"/>
  <c r="C9" i="7"/>
  <c r="D9" i="7"/>
  <c r="E9" i="7"/>
  <c r="F9" i="7"/>
  <c r="G9" i="7"/>
  <c r="H9" i="7"/>
  <c r="I9" i="7"/>
  <c r="J9" i="7"/>
  <c r="K9" i="7"/>
  <c r="B10" i="7"/>
  <c r="B11" i="7"/>
  <c r="B12" i="7"/>
  <c r="B13" i="7"/>
  <c r="B14" i="7"/>
  <c r="B15" i="7"/>
  <c r="B16" i="7"/>
  <c r="B17" i="7"/>
  <c r="B18" i="7"/>
  <c r="B9" i="7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<sst xmlns="http://schemas.openxmlformats.org/spreadsheetml/2006/main" count="54" uniqueCount="52">
  <si>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Preces cena ir 3,20 eiro.  Ja pēr 3 vai vairāk vienādas preces, par katru preci jāmaksā tikai 2,90 eiro. Uzrakstīt formulu kas aprēķina maksu par pirkumu</t>
  </si>
  <si>
    <t>Daudzums</t>
  </si>
  <si>
    <t>Maksa (ja pērk 3 un vairāk, jāmaksā mazāk)</t>
  </si>
  <si>
    <t>Dots:</t>
  </si>
  <si>
    <t>leņķis grādos starp trijstūra malām a un b:</t>
  </si>
  <si>
    <t xml:space="preserve">  malu a un b garumi</t>
  </si>
  <si>
    <t>Aprēķināt:</t>
  </si>
  <si>
    <t>visus iespējamos malas c garumus pēc kosinusu teorēmas</t>
  </si>
  <si>
    <t xml:space="preserve">       b   a</t>
  </si>
  <si>
    <t>Šūnu apgabalu D5:F8 aizpildīt ar formulām, kas nosaka vai ir spēkā visas trijstūra nevienādibas. Izveidotās fomulas izmantot, lai G kolonnā noskaidrotu, var vai nevar konstruēt trijstūri</t>
  </si>
  <si>
    <t>Nogriežņu garumi</t>
  </si>
  <si>
    <t>Trijstūra nevienādības</t>
  </si>
  <si>
    <t>vai var konstruēt trijstūri?</t>
  </si>
  <si>
    <t>a</t>
  </si>
  <si>
    <t>b</t>
  </si>
  <si>
    <t>c</t>
  </si>
  <si>
    <t>a+b&gt;c</t>
  </si>
  <si>
    <t>a+c&gt;b</t>
  </si>
  <si>
    <t>b+c&gt;a</t>
  </si>
  <si>
    <t>jā/nē</t>
  </si>
  <si>
    <t>E kolonnā jāievada formula, kas atrod A kolonnā dotā personvārda locījumu vokatīvā, izmantojot datus no C un D kolonnām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</si>
  <si>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</si>
  <si>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</si>
  <si>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</si>
  <si>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</si>
  <si>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</si>
  <si>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</si>
  <si>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</si>
  <si>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</si>
  <si>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</si>
  <si>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</si>
  <si>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</si>
  <si>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</si>
  <si>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</si>
  <si>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</si>
  <si>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</si>
  <si>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</si>
  <si>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</si>
  <si>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 xml:space="preserve">B kolonnā jāivada fomula, kas atkarībā no A kolonnas atbilstošās šūnas vērtības parāda tekstu "cents" vai "centi". A kolonnas vērtības vienmēr būs intervālā [1;99]. </t>
  </si>
  <si>
    <t>Summa centos</t>
  </si>
  <si>
    <t>Apzīmējums (Centi vai cents)</t>
  </si>
  <si>
    <t xml:space="preserve">Zināms, ka visi trijstūri zaļajā figūrā ir taisnleņķa vienādsānu trijstūri. </t>
  </si>
  <si>
    <t>Aprēķināt</t>
  </si>
  <si>
    <t>zaļās figūras tilpumu</t>
  </si>
  <si>
    <t>zaļās figūras virsmas laukumu</t>
  </si>
  <si>
    <t>palīgdarbības:</t>
  </si>
  <si>
    <t>mazā trijstūra katetes garums</t>
  </si>
  <si>
    <t>lielā trijstūra katetes garums</t>
  </si>
  <si>
    <t>mazā trijstūra laukums</t>
  </si>
  <si>
    <t>lielā trijstūra laukums</t>
  </si>
  <si>
    <t>mazās trijstūrveida figūras (cauruma) tilpums</t>
  </si>
  <si>
    <t>lielās trijstūrveida figūras tilpums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</si>
</sst>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0" fontId="0" fillId="0" borderId="0" xfId="0" applyBorder="1"/>
    <xf numFmtId="0" fontId="0" fillId="3" borderId="2" xfId="0" applyFill="1" applyBorder="1" applyAlignment="1">
      <alignment wrapText="1"/>
    </xf>
    <xf numFmtId="0" fontId="9" fillId="3" borderId="2" xfId="8" applyFont="1" applyFill="1" applyBorder="1" applyAlignment="1">
      <alignment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43" fontId="2" fillId="0" borderId="0" xfId="1" applyFont="1" applyBorder="1" applyAlignment="1">
      <alignment horizontal="center" vertical="center" wrapText="1"/>
    </xf>
    <xf numFmtId="43" fontId="0" fillId="3" borderId="2" xfId="0" applyNumberFormat="1" applyFill="1" applyBorder="1"/>
    <xf numFmtId="0" fontId="0" fillId="3" borderId="2" xfId="0" applyNumberFormat="1" applyFill="1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</cellXfs>
  <cellStyles count="9">
    <cellStyle name="Comma 2" xfId="3" xr:uid="{00000000-0005-0000-0000-000001000000}"/>
    <cellStyle name="Comma 3" xfId="7" xr:uid="{346510AD-4C48-484B-80EC-CAFD8C7FE370}"/>
    <cellStyle name="Komats" xfId="1" builtinId="3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arasts" xfId="0" builtinId="0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B6" sqref="B6"/>
    </sheetView>
  </sheetViews>
  <sheetFormatPr defaultColWidth="8.85546875" defaultRowHeight="18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>
      <c r="A1" s="39" t="s">
        <v>0</v>
      </c>
      <c r="B1" s="39"/>
      <c r="C1" s="39"/>
      <c r="D1" s="39"/>
      <c r="E1" s="39"/>
      <c r="F1" s="39"/>
      <c r="G1" s="39"/>
      <c r="H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8.75" thickTop="1"/>
    <row r="3" spans="1:22" ht="26.45" customHeight="1">
      <c r="A3" s="2" t="s">
        <v>1</v>
      </c>
      <c r="B3" s="2" t="s">
        <v>2</v>
      </c>
    </row>
    <row r="4" spans="1:22">
      <c r="A4" s="4">
        <v>1</v>
      </c>
      <c r="B4" s="23">
        <f>IF(A4&lt;3,A4*3.2,A4*2.9)</f>
        <v>3.2</v>
      </c>
    </row>
    <row r="5" spans="1:22">
      <c r="A5" s="4">
        <v>2</v>
      </c>
      <c r="B5" s="23">
        <f t="shared" ref="B5:B7" si="0">IF(A5&lt;3,A5*3.2,A5*2.9)</f>
        <v>6.4</v>
      </c>
    </row>
    <row r="6" spans="1:22">
      <c r="A6" s="4">
        <v>3</v>
      </c>
      <c r="B6" s="23">
        <f t="shared" si="0"/>
        <v>8.6999999999999993</v>
      </c>
    </row>
    <row r="7" spans="1:22">
      <c r="A7" s="4">
        <v>4</v>
      </c>
      <c r="B7" s="23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G18" sqref="G18"/>
    </sheetView>
  </sheetViews>
  <sheetFormatPr defaultRowHeight="15"/>
  <cols>
    <col min="1" max="1" width="9.5703125" customWidth="1"/>
    <col min="2" max="2" width="14.5703125" customWidth="1"/>
  </cols>
  <sheetData>
    <row r="1" spans="1:13" ht="20.25" customHeight="1">
      <c r="A1" s="34" t="s">
        <v>3</v>
      </c>
      <c r="B1" s="34"/>
      <c r="C1" s="34"/>
      <c r="D1" s="34"/>
      <c r="E1" s="34"/>
      <c r="F1" s="34"/>
      <c r="G1" s="34"/>
      <c r="H1" s="34"/>
      <c r="I1" s="27"/>
      <c r="J1" s="27"/>
      <c r="K1" s="27"/>
      <c r="L1" s="27"/>
      <c r="M1" s="27"/>
    </row>
    <row r="2" spans="1:13" ht="20.25" customHeight="1">
      <c r="A2" s="41" t="s">
        <v>4</v>
      </c>
      <c r="B2" s="41"/>
      <c r="C2" s="41"/>
      <c r="D2" s="41"/>
      <c r="E2" s="41"/>
      <c r="F2" s="41"/>
      <c r="G2" s="34">
        <v>24</v>
      </c>
      <c r="H2" s="34"/>
      <c r="I2" s="27"/>
      <c r="J2" s="27"/>
      <c r="K2" s="27"/>
      <c r="L2" s="27"/>
      <c r="M2" s="27"/>
    </row>
    <row r="3" spans="1:13" ht="20.25" customHeight="1">
      <c r="A3" s="42" t="s">
        <v>5</v>
      </c>
      <c r="B3" s="42"/>
      <c r="C3" s="42"/>
      <c r="D3" s="42"/>
      <c r="E3" s="42"/>
      <c r="F3" s="34"/>
      <c r="G3" s="34"/>
      <c r="H3" s="34"/>
      <c r="I3" s="27"/>
      <c r="J3" s="27"/>
      <c r="K3" s="27"/>
      <c r="L3" s="27"/>
      <c r="M3" s="27"/>
    </row>
    <row r="4" spans="1:13" ht="20.25" customHeight="1">
      <c r="A4" s="42" t="s">
        <v>6</v>
      </c>
      <c r="B4" s="42"/>
      <c r="C4" s="42"/>
      <c r="D4" s="42"/>
      <c r="E4" s="34"/>
      <c r="F4" s="34"/>
      <c r="G4" s="34"/>
      <c r="H4" s="34"/>
      <c r="I4" s="27"/>
      <c r="J4" s="27"/>
      <c r="K4" s="27"/>
      <c r="L4" s="27"/>
      <c r="M4" s="27"/>
    </row>
    <row r="5" spans="1:13" ht="20.25" customHeight="1" thickBot="1">
      <c r="A5" s="43" t="s">
        <v>7</v>
      </c>
      <c r="B5" s="43"/>
      <c r="C5" s="43"/>
      <c r="D5" s="43"/>
      <c r="E5" s="43"/>
      <c r="F5" s="43"/>
      <c r="G5" s="43"/>
      <c r="H5" s="43"/>
      <c r="I5" s="35"/>
      <c r="J5" s="35"/>
      <c r="K5" s="35"/>
      <c r="L5" s="35"/>
      <c r="M5" s="35"/>
    </row>
    <row r="6" spans="1:13" ht="20.25" customHeight="1" thickTop="1"/>
    <row r="7" spans="1:13" ht="20.25" customHeight="1"/>
    <row r="8" spans="1:13" ht="30.75" customHeight="1">
      <c r="A8" s="24" t="s">
        <v>8</v>
      </c>
      <c r="B8" s="25">
        <v>1</v>
      </c>
      <c r="C8" s="25">
        <v>3</v>
      </c>
      <c r="D8" s="25">
        <v>5</v>
      </c>
      <c r="E8" s="25">
        <v>7</v>
      </c>
      <c r="F8" s="25">
        <v>9</v>
      </c>
      <c r="G8" s="25">
        <v>11</v>
      </c>
      <c r="H8" s="25">
        <v>13</v>
      </c>
      <c r="I8" s="25">
        <v>15</v>
      </c>
      <c r="J8" s="25">
        <v>17</v>
      </c>
      <c r="K8" s="25">
        <v>19</v>
      </c>
    </row>
    <row r="9" spans="1:13">
      <c r="A9" s="26">
        <v>2</v>
      </c>
      <c r="B9" s="32">
        <f>SQRT(($A9*$A9)+(B$8*B$8)-(2*$A9*B$8*COS(24)))</f>
        <v>1.817493870870549</v>
      </c>
      <c r="C9" s="32">
        <f t="shared" ref="C9:K18" si="0">SQRT(($A9*$A9)+(C$8*C$8)-(2*$A9*C$8*COS(24)))</f>
        <v>2.8124458949384317</v>
      </c>
      <c r="D9" s="32">
        <f t="shared" si="0"/>
        <v>4.5295054755745756</v>
      </c>
      <c r="E9" s="32">
        <f t="shared" si="0"/>
        <v>6.4127207794012113</v>
      </c>
      <c r="F9" s="32">
        <f t="shared" si="0"/>
        <v>8.3504224884653659</v>
      </c>
      <c r="G9" s="32">
        <f t="shared" si="0"/>
        <v>10.311940829793979</v>
      </c>
      <c r="H9" s="32">
        <f t="shared" si="0"/>
        <v>12.285873661179988</v>
      </c>
      <c r="I9" s="32">
        <f t="shared" si="0"/>
        <v>14.267069059893842</v>
      </c>
      <c r="J9" s="32">
        <f t="shared" si="0"/>
        <v>16.252871361734339</v>
      </c>
      <c r="K9" s="32">
        <f t="shared" si="0"/>
        <v>18.241776104381618</v>
      </c>
    </row>
    <row r="10" spans="1:13">
      <c r="A10" s="26">
        <v>4</v>
      </c>
      <c r="B10" s="32">
        <f t="shared" ref="B10:B18" si="1">SQRT(($A10*$A10)+(B$8*B$8)-(2*$A10*B$8*COS(24)))</f>
        <v>3.688708167001562</v>
      </c>
      <c r="C10" s="32">
        <f t="shared" si="0"/>
        <v>3.8496368431206691</v>
      </c>
      <c r="D10" s="32">
        <f t="shared" si="0"/>
        <v>4.9023300283151192</v>
      </c>
      <c r="E10" s="32">
        <f t="shared" si="0"/>
        <v>6.4223029817292305</v>
      </c>
      <c r="F10" s="32">
        <f t="shared" si="0"/>
        <v>8.1522457931380004</v>
      </c>
      <c r="G10" s="32">
        <f t="shared" si="0"/>
        <v>9.9835989179425813</v>
      </c>
      <c r="H10" s="32">
        <f t="shared" si="0"/>
        <v>11.86951486948613</v>
      </c>
      <c r="I10" s="32">
        <f t="shared" si="0"/>
        <v>13.78762195302585</v>
      </c>
      <c r="J10" s="32">
        <f t="shared" si="0"/>
        <v>15.726145586321158</v>
      </c>
      <c r="K10" s="32">
        <f t="shared" si="0"/>
        <v>17.678370707867185</v>
      </c>
    </row>
    <row r="11" spans="1:13">
      <c r="A11" s="26">
        <v>6</v>
      </c>
      <c r="B11" s="32">
        <f t="shared" si="1"/>
        <v>5.6488805892810339</v>
      </c>
      <c r="C11" s="32">
        <f t="shared" si="0"/>
        <v>5.4524816126116473</v>
      </c>
      <c r="D11" s="32">
        <f t="shared" si="0"/>
        <v>5.9623199813311079</v>
      </c>
      <c r="E11" s="32">
        <f t="shared" si="0"/>
        <v>7.0263051018079379</v>
      </c>
      <c r="F11" s="32">
        <f t="shared" si="0"/>
        <v>8.4373376848152954</v>
      </c>
      <c r="G11" s="32">
        <f t="shared" si="0"/>
        <v>10.050292086875704</v>
      </c>
      <c r="H11" s="32">
        <f t="shared" si="0"/>
        <v>11.782532616353263</v>
      </c>
      <c r="I11" s="32">
        <f t="shared" si="0"/>
        <v>13.588516426723727</v>
      </c>
      <c r="J11" s="32">
        <f t="shared" si="0"/>
        <v>15.442392382764162</v>
      </c>
      <c r="K11" s="32">
        <f t="shared" si="0"/>
        <v>17.328796447738796</v>
      </c>
    </row>
    <row r="12" spans="1:13">
      <c r="A12" s="26">
        <v>8</v>
      </c>
      <c r="B12" s="32">
        <f t="shared" si="1"/>
        <v>7.629753330390705</v>
      </c>
      <c r="C12" s="32">
        <f t="shared" si="0"/>
        <v>7.2553020369812407</v>
      </c>
      <c r="D12" s="32">
        <f t="shared" si="0"/>
        <v>7.4206252710294063</v>
      </c>
      <c r="E12" s="32">
        <f t="shared" si="0"/>
        <v>8.0927097549743081</v>
      </c>
      <c r="F12" s="32">
        <f t="shared" si="0"/>
        <v>9.1606889993860428</v>
      </c>
      <c r="G12" s="32">
        <f t="shared" si="0"/>
        <v>10.50449878426803</v>
      </c>
      <c r="H12" s="32">
        <f t="shared" si="0"/>
        <v>12.03207240976818</v>
      </c>
      <c r="I12" s="32">
        <f t="shared" si="0"/>
        <v>13.681996865922779</v>
      </c>
      <c r="J12" s="32">
        <f t="shared" si="0"/>
        <v>15.415035193094333</v>
      </c>
      <c r="K12" s="32">
        <f t="shared" si="0"/>
        <v>17.206091414657568</v>
      </c>
    </row>
    <row r="13" spans="1:13">
      <c r="A13" s="26">
        <v>10</v>
      </c>
      <c r="B13" s="32">
        <f t="shared" si="1"/>
        <v>9.6185456204802637</v>
      </c>
      <c r="C13" s="32">
        <f t="shared" si="0"/>
        <v>9.1405284070331607</v>
      </c>
      <c r="D13" s="32">
        <f t="shared" si="0"/>
        <v>9.0874693543527449</v>
      </c>
      <c r="E13" s="32">
        <f t="shared" si="0"/>
        <v>9.4665167285977176</v>
      </c>
      <c r="F13" s="32">
        <f t="shared" si="0"/>
        <v>10.229749688009992</v>
      </c>
      <c r="G13" s="32">
        <f t="shared" si="0"/>
        <v>11.299584876705014</v>
      </c>
      <c r="H13" s="32">
        <f t="shared" si="0"/>
        <v>12.59815296352528</v>
      </c>
      <c r="I13" s="32">
        <f t="shared" si="0"/>
        <v>14.06222947469216</v>
      </c>
      <c r="J13" s="32">
        <f t="shared" si="0"/>
        <v>15.645419058159517</v>
      </c>
      <c r="K13" s="32">
        <f t="shared" si="0"/>
        <v>17.315079474606552</v>
      </c>
    </row>
    <row r="14" spans="1:13">
      <c r="A14" s="26">
        <v>12</v>
      </c>
      <c r="B14" s="32">
        <f t="shared" si="1"/>
        <v>11.611188734316228</v>
      </c>
      <c r="C14" s="32">
        <f t="shared" si="0"/>
        <v>11.066124501004687</v>
      </c>
      <c r="D14" s="32">
        <f t="shared" si="0"/>
        <v>10.867314255121196</v>
      </c>
      <c r="E14" s="32">
        <f t="shared" si="0"/>
        <v>11.033491141401461</v>
      </c>
      <c r="F14" s="32">
        <f t="shared" si="0"/>
        <v>11.548910529362008</v>
      </c>
      <c r="G14" s="32">
        <f t="shared" si="0"/>
        <v>12.369993616127406</v>
      </c>
      <c r="H14" s="32">
        <f t="shared" si="0"/>
        <v>13.440838876753821</v>
      </c>
      <c r="I14" s="32">
        <f t="shared" si="0"/>
        <v>14.706990084945359</v>
      </c>
      <c r="J14" s="32">
        <f t="shared" si="0"/>
        <v>16.122498720933589</v>
      </c>
      <c r="K14" s="32">
        <f t="shared" si="0"/>
        <v>17.651469419125689</v>
      </c>
    </row>
    <row r="15" spans="1:13">
      <c r="A15" s="26">
        <v>14</v>
      </c>
      <c r="B15" s="32">
        <f t="shared" si="1"/>
        <v>13.605990878821141</v>
      </c>
      <c r="C15" s="32">
        <f t="shared" si="0"/>
        <v>13.014183162369134</v>
      </c>
      <c r="D15" s="32">
        <f t="shared" si="0"/>
        <v>12.712786436215328</v>
      </c>
      <c r="E15" s="32">
        <f t="shared" si="0"/>
        <v>12.722457096093843</v>
      </c>
      <c r="F15" s="32">
        <f t="shared" si="0"/>
        <v>13.042503216448779</v>
      </c>
      <c r="G15" s="32">
        <f t="shared" si="0"/>
        <v>13.65111225286075</v>
      </c>
      <c r="H15" s="32">
        <f t="shared" si="0"/>
        <v>14.512024025935634</v>
      </c>
      <c r="I15" s="32">
        <f t="shared" si="0"/>
        <v>15.58347897353031</v>
      </c>
      <c r="J15" s="32">
        <f t="shared" si="0"/>
        <v>16.825302152044387</v>
      </c>
      <c r="K15" s="32">
        <f t="shared" si="0"/>
        <v>18.202658270063679</v>
      </c>
    </row>
    <row r="16" spans="1:13">
      <c r="A16" s="26">
        <v>16</v>
      </c>
      <c r="B16" s="32">
        <f t="shared" si="1"/>
        <v>15.60212395045034</v>
      </c>
      <c r="C16" s="32">
        <f t="shared" si="0"/>
        <v>14.975941215684852</v>
      </c>
      <c r="D16" s="32">
        <f t="shared" si="0"/>
        <v>14.599019104928951</v>
      </c>
      <c r="E16" s="32">
        <f t="shared" si="0"/>
        <v>14.49082131407715</v>
      </c>
      <c r="F16" s="32">
        <f t="shared" si="0"/>
        <v>14.657300088588787</v>
      </c>
      <c r="G16" s="32">
        <f t="shared" si="0"/>
        <v>15.089366766613404</v>
      </c>
      <c r="H16" s="32">
        <f t="shared" si="0"/>
        <v>15.765200060506979</v>
      </c>
      <c r="I16" s="32">
        <f t="shared" si="0"/>
        <v>16.655151649812183</v>
      </c>
      <c r="J16" s="32">
        <f t="shared" si="0"/>
        <v>17.727002566950613</v>
      </c>
      <c r="K16" s="32">
        <f t="shared" si="0"/>
        <v>18.949911966526543</v>
      </c>
    </row>
    <row r="17" spans="1:11">
      <c r="A17" s="26">
        <v>18</v>
      </c>
      <c r="B17" s="32">
        <f t="shared" si="1"/>
        <v>17.599135084880398</v>
      </c>
      <c r="C17" s="32">
        <f t="shared" si="0"/>
        <v>16.946641767843101</v>
      </c>
      <c r="D17" s="32">
        <f t="shared" si="0"/>
        <v>16.512049499663586</v>
      </c>
      <c r="E17" s="32">
        <f t="shared" si="0"/>
        <v>16.312783028995291</v>
      </c>
      <c r="F17" s="32">
        <f t="shared" si="0"/>
        <v>16.357444837834944</v>
      </c>
      <c r="G17" s="32">
        <f t="shared" si="0"/>
        <v>16.644071409800823</v>
      </c>
      <c r="H17" s="32">
        <f t="shared" si="0"/>
        <v>17.160542665262234</v>
      </c>
      <c r="I17" s="32">
        <f t="shared" si="0"/>
        <v>17.886959943993325</v>
      </c>
      <c r="J17" s="32">
        <f t="shared" si="0"/>
        <v>18.799001237027404</v>
      </c>
      <c r="K17" s="32">
        <f t="shared" si="0"/>
        <v>19.871123747324763</v>
      </c>
    </row>
    <row r="18" spans="1:11">
      <c r="A18" s="26">
        <v>20</v>
      </c>
      <c r="B18" s="32">
        <f t="shared" si="1"/>
        <v>19.596755846479287</v>
      </c>
      <c r="C18" s="32">
        <f t="shared" si="0"/>
        <v>18.923491197967682</v>
      </c>
      <c r="D18" s="32">
        <f t="shared" si="0"/>
        <v>18.443540835007809</v>
      </c>
      <c r="E18" s="32">
        <f t="shared" si="0"/>
        <v>18.172228205303853</v>
      </c>
      <c r="F18" s="32">
        <f t="shared" si="0"/>
        <v>18.11892815148515</v>
      </c>
      <c r="G18" s="32">
        <f t="shared" si="0"/>
        <v>18.285547210070618</v>
      </c>
      <c r="H18" s="32">
        <f t="shared" si="0"/>
        <v>18.66619715380617</v>
      </c>
      <c r="I18" s="32">
        <f t="shared" si="0"/>
        <v>19.248184215603345</v>
      </c>
      <c r="J18" s="32">
        <f t="shared" si="0"/>
        <v>20.013952008807308</v>
      </c>
      <c r="K18" s="32">
        <f t="shared" si="0"/>
        <v>20.943351079134455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8" sqref="G8"/>
    </sheetView>
  </sheetViews>
  <sheetFormatPr defaultColWidth="8.85546875" defaultRowHeight="18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>
      <c r="A1" s="39" t="s">
        <v>9</v>
      </c>
      <c r="B1" s="39"/>
      <c r="C1" s="39"/>
      <c r="D1" s="39"/>
      <c r="E1" s="39"/>
      <c r="F1" s="39"/>
      <c r="G1" s="39"/>
      <c r="H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8.75" thickTop="1"/>
    <row r="3" spans="1:22">
      <c r="A3" s="44" t="s">
        <v>10</v>
      </c>
      <c r="B3" s="45"/>
      <c r="C3" s="46"/>
      <c r="D3" s="44" t="s">
        <v>11</v>
      </c>
      <c r="E3" s="45"/>
      <c r="F3" s="46"/>
      <c r="G3" s="16" t="s">
        <v>12</v>
      </c>
    </row>
    <row r="4" spans="1:22">
      <c r="A4" s="17" t="s">
        <v>13</v>
      </c>
      <c r="B4" s="18" t="s">
        <v>14</v>
      </c>
      <c r="C4" s="19" t="s">
        <v>15</v>
      </c>
      <c r="D4" s="17" t="s">
        <v>16</v>
      </c>
      <c r="E4" s="18" t="s">
        <v>17</v>
      </c>
      <c r="F4" s="19" t="s">
        <v>18</v>
      </c>
      <c r="G4" s="20" t="s">
        <v>19</v>
      </c>
    </row>
    <row r="5" spans="1:22">
      <c r="A5" s="8">
        <v>3</v>
      </c>
      <c r="B5" s="8">
        <v>4</v>
      </c>
      <c r="C5" s="8">
        <v>5</v>
      </c>
      <c r="D5" s="21" t="str">
        <f>IF(A5+B5&gt;C5,"Ir", "Nav")</f>
        <v>Ir</v>
      </c>
      <c r="E5" s="21" t="str">
        <f>IF(A5+C5&gt;B5,"Ir", "Nav")</f>
        <v>Ir</v>
      </c>
      <c r="F5" s="21" t="str">
        <f>IF(B5+C5&gt;A5,"Ir","Nav")</f>
        <v>Ir</v>
      </c>
      <c r="G5" s="22" t="str">
        <f>IF(AND(D5="Ir",E5="Ir",F5="Ir"),"jā","nē")</f>
        <v>jā</v>
      </c>
    </row>
    <row r="6" spans="1:22">
      <c r="A6" s="8">
        <v>4</v>
      </c>
      <c r="B6" s="8">
        <v>2</v>
      </c>
      <c r="C6" s="8">
        <v>2</v>
      </c>
      <c r="D6" s="21" t="str">
        <f t="shared" ref="D6:D8" si="0">IF(A6+B6&gt;C6,"Ir", "Nav")</f>
        <v>Ir</v>
      </c>
      <c r="E6" s="21" t="str">
        <f t="shared" ref="E6:E8" si="1">IF(A6+C6&gt;B6,"Ir", "Nav")</f>
        <v>Ir</v>
      </c>
      <c r="F6" s="21" t="str">
        <f t="shared" ref="F6:F8" si="2">IF(B6+C6&gt;A6,"Ir","Nav")</f>
        <v>Nav</v>
      </c>
      <c r="G6" s="22" t="str">
        <f t="shared" ref="G6:G8" si="3">IF(AND(D6="Ir",E6="Ir",F6="Ir"),"jā","nē")</f>
        <v>nē</v>
      </c>
    </row>
    <row r="7" spans="1:22">
      <c r="A7" s="8">
        <v>1</v>
      </c>
      <c r="B7" s="8">
        <v>2</v>
      </c>
      <c r="C7" s="8">
        <v>3</v>
      </c>
      <c r="D7" s="21" t="str">
        <f t="shared" si="0"/>
        <v>Nav</v>
      </c>
      <c r="E7" s="21" t="str">
        <f t="shared" si="1"/>
        <v>Ir</v>
      </c>
      <c r="F7" s="21" t="str">
        <f t="shared" si="2"/>
        <v>Ir</v>
      </c>
      <c r="G7" s="22" t="str">
        <f t="shared" si="3"/>
        <v>nē</v>
      </c>
    </row>
    <row r="8" spans="1:22">
      <c r="A8" s="8">
        <v>20</v>
      </c>
      <c r="B8" s="8">
        <v>14</v>
      </c>
      <c r="C8" s="8">
        <v>12</v>
      </c>
      <c r="D8" s="21" t="str">
        <f t="shared" si="0"/>
        <v>Ir</v>
      </c>
      <c r="E8" s="21" t="str">
        <f t="shared" si="1"/>
        <v>Ir</v>
      </c>
      <c r="F8" s="21" t="str">
        <f t="shared" si="2"/>
        <v>Ir</v>
      </c>
      <c r="G8" s="22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E5" sqref="E5"/>
    </sheetView>
  </sheetViews>
  <sheetFormatPr defaultRowHeight="18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>
      <c r="A1" s="39" t="s">
        <v>20</v>
      </c>
      <c r="B1" s="39"/>
      <c r="C1" s="39"/>
      <c r="D1" s="39"/>
      <c r="E1" s="39"/>
      <c r="F1" s="39"/>
      <c r="G1" s="39"/>
      <c r="H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8.75" thickTop="1"/>
    <row r="3" spans="1:22" s="11" customFormat="1" ht="49.15" customHeight="1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</row>
    <row r="4" spans="1:22" ht="21" customHeight="1">
      <c r="A4" s="12" t="s">
        <v>26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33" t="str">
        <f>IF(OR(C4="a",C4="e",C4="o"),A4 &amp; "!",D4 &amp;"!")</f>
        <v>Aija!</v>
      </c>
      <c r="K4" s="15"/>
    </row>
    <row r="5" spans="1:22">
      <c r="A5" s="12" t="s">
        <v>27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33" t="str">
        <f t="shared" ref="E5:E15" si="3">IF(OR(C5="a",C5="e",C5="o"),A5 &amp; "!",D5 &amp;"!")</f>
        <v>Dace!</v>
      </c>
      <c r="K5" s="15"/>
    </row>
    <row r="6" spans="1:22">
      <c r="A6" s="12" t="s">
        <v>28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33" t="str">
        <f t="shared" si="3"/>
        <v>Jāni!</v>
      </c>
      <c r="K6" s="15"/>
    </row>
    <row r="7" spans="1:22">
      <c r="A7" s="12" t="s">
        <v>29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33" t="str">
        <f t="shared" si="3"/>
        <v>Mārtiņ!</v>
      </c>
      <c r="K7" s="15"/>
    </row>
    <row r="8" spans="1:22">
      <c r="A8" s="12" t="s">
        <v>30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33" t="str">
        <f t="shared" si="3"/>
        <v>Ivo!</v>
      </c>
      <c r="K8" s="15"/>
    </row>
    <row r="9" spans="1:22">
      <c r="A9" s="12" t="s">
        <v>31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33" t="str">
        <f t="shared" si="3"/>
        <v>Sandi!</v>
      </c>
      <c r="K9" s="15"/>
    </row>
    <row r="10" spans="1:22">
      <c r="A10" s="12" t="s">
        <v>32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33" t="str">
        <f t="shared" si="3"/>
        <v>Dāvi!</v>
      </c>
      <c r="K10" s="15"/>
    </row>
    <row r="11" spans="1:22">
      <c r="A11" s="12" t="s">
        <v>33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33" t="str">
        <f t="shared" si="3"/>
        <v>Kārli!</v>
      </c>
      <c r="K11" s="15"/>
    </row>
    <row r="12" spans="1:22">
      <c r="A12" s="12" t="s">
        <v>34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33" t="str">
        <f t="shared" si="3"/>
        <v>Markus!</v>
      </c>
      <c r="K12" s="15"/>
    </row>
    <row r="13" spans="1:22">
      <c r="A13" s="12" t="s">
        <v>35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33" t="str">
        <f t="shared" si="3"/>
        <v>Mārci!</v>
      </c>
      <c r="K13" s="15"/>
    </row>
    <row r="14" spans="1:22">
      <c r="A14" s="12" t="s">
        <v>36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33" t="str">
        <f t="shared" si="3"/>
        <v>Miku!</v>
      </c>
    </row>
    <row r="15" spans="1:22">
      <c r="A15" s="12" t="s">
        <v>37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33" t="str">
        <f t="shared" si="3"/>
        <v>Klāv!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D5" sqref="D5"/>
    </sheetView>
  </sheetViews>
  <sheetFormatPr defaultColWidth="8.85546875" defaultRowHeight="18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>
      <c r="A1" s="39" t="s">
        <v>38</v>
      </c>
      <c r="B1" s="39"/>
      <c r="C1" s="39"/>
      <c r="D1" s="39"/>
      <c r="E1" s="39"/>
      <c r="F1" s="39"/>
      <c r="G1" s="39"/>
      <c r="H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8.75" thickTop="1"/>
    <row r="3" spans="1:22" ht="34.15" customHeight="1">
      <c r="A3" s="5" t="s">
        <v>39</v>
      </c>
      <c r="B3" s="5" t="s">
        <v>40</v>
      </c>
    </row>
    <row r="4" spans="1:22">
      <c r="A4" s="7">
        <v>25</v>
      </c>
      <c r="B4" s="22" t="str">
        <f>IF(RIGHT(A4, 1)="1","cents","centi")</f>
        <v>centi</v>
      </c>
    </row>
    <row r="5" spans="1:22">
      <c r="A5" s="8">
        <v>1</v>
      </c>
      <c r="B5" s="22" t="str">
        <f>IF(RIGHT(A5, 1)="1","cents","centi")</f>
        <v>cents</v>
      </c>
    </row>
    <row r="6" spans="1:22">
      <c r="A6" s="8">
        <v>2</v>
      </c>
      <c r="B6" s="22" t="str">
        <f t="shared" ref="B6:B13" si="0">IF(RIGHT(A6, 1)="1","cents","centi")</f>
        <v>centi</v>
      </c>
    </row>
    <row r="7" spans="1:22">
      <c r="A7" s="8">
        <v>9</v>
      </c>
      <c r="B7" s="22" t="str">
        <f t="shared" si="0"/>
        <v>centi</v>
      </c>
    </row>
    <row r="8" spans="1:22">
      <c r="A8" s="8">
        <v>10</v>
      </c>
      <c r="B8" s="22" t="str">
        <f t="shared" si="0"/>
        <v>centi</v>
      </c>
    </row>
    <row r="9" spans="1:22">
      <c r="A9" s="8">
        <v>11</v>
      </c>
      <c r="B9" s="22" t="str">
        <f t="shared" si="0"/>
        <v>cents</v>
      </c>
    </row>
    <row r="10" spans="1:22">
      <c r="A10" s="8">
        <v>12</v>
      </c>
      <c r="B10" s="22" t="str">
        <f t="shared" si="0"/>
        <v>centi</v>
      </c>
    </row>
    <row r="11" spans="1:22">
      <c r="A11" s="8">
        <v>21</v>
      </c>
      <c r="B11" s="22" t="str">
        <f t="shared" si="0"/>
        <v>cents</v>
      </c>
    </row>
    <row r="12" spans="1:22">
      <c r="A12" s="8">
        <v>99</v>
      </c>
      <c r="B12" s="22" t="str">
        <f t="shared" si="0"/>
        <v>centi</v>
      </c>
    </row>
    <row r="13" spans="1:22">
      <c r="A13" s="8">
        <v>91</v>
      </c>
      <c r="B13" s="22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tabSelected="1" workbookViewId="0">
      <selection activeCell="F8" sqref="F8"/>
    </sheetView>
  </sheetViews>
  <sheetFormatPr defaultRowHeight="15"/>
  <cols>
    <col min="1" max="1" width="26.85546875" customWidth="1"/>
    <col min="6" max="6" width="13.140625" customWidth="1"/>
  </cols>
  <sheetData>
    <row r="1" spans="1:8" ht="18" customHeight="1">
      <c r="A1" s="30" t="s">
        <v>3</v>
      </c>
      <c r="B1" s="30"/>
      <c r="C1" s="30"/>
      <c r="D1" s="30"/>
    </row>
    <row r="2" spans="1:8" ht="18" customHeight="1">
      <c r="A2" s="36" t="s">
        <v>15</v>
      </c>
      <c r="B2" s="30">
        <v>10</v>
      </c>
      <c r="C2" s="30"/>
      <c r="D2" s="30"/>
    </row>
    <row r="3" spans="1:8" ht="18" customHeight="1">
      <c r="A3" s="49" t="s">
        <v>41</v>
      </c>
      <c r="B3" s="49"/>
      <c r="C3" s="49"/>
      <c r="D3" s="49"/>
      <c r="E3" s="49"/>
      <c r="F3" s="49"/>
      <c r="G3" s="49"/>
      <c r="H3" s="49"/>
    </row>
    <row r="4" spans="1:8" ht="18" customHeight="1"/>
    <row r="5" spans="1:8" ht="18" customHeight="1"/>
    <row r="6" spans="1:8" ht="24" customHeight="1" thickBot="1">
      <c r="A6" s="29" t="s">
        <v>42</v>
      </c>
      <c r="B6" s="29"/>
      <c r="C6" s="29"/>
      <c r="D6" s="29"/>
      <c r="E6" s="29"/>
      <c r="F6" s="29"/>
      <c r="G6" s="29"/>
      <c r="H6" s="29"/>
    </row>
    <row r="7" spans="1:8" ht="18" customHeight="1" thickTop="1">
      <c r="A7" s="30" t="s">
        <v>43</v>
      </c>
      <c r="F7" s="38">
        <f>F16-F15</f>
        <v>1999.9999999999995</v>
      </c>
    </row>
    <row r="8" spans="1:8" ht="18" customHeight="1">
      <c r="A8" s="47" t="s">
        <v>44</v>
      </c>
      <c r="B8" s="47"/>
      <c r="C8" s="47"/>
      <c r="F8" s="32">
        <f>(F14-F13)*2+(B2*B2)*2+(B2*F12)*2</f>
        <v>1024.2640687119283</v>
      </c>
    </row>
    <row r="9" spans="1:8" ht="18" customHeight="1"/>
    <row r="10" spans="1:8" ht="18" customHeight="1">
      <c r="A10" s="47" t="s">
        <v>45</v>
      </c>
      <c r="B10" s="47"/>
      <c r="C10" s="47"/>
    </row>
    <row r="11" spans="1:8" ht="18" customHeight="1">
      <c r="A11" s="47" t="s">
        <v>46</v>
      </c>
      <c r="B11" s="47"/>
      <c r="C11" s="47"/>
      <c r="F11" s="37">
        <f>B2/SQRT(2)</f>
        <v>7.0710678118654746</v>
      </c>
    </row>
    <row r="12" spans="1:8" ht="18" customHeight="1">
      <c r="A12" s="47" t="s">
        <v>47</v>
      </c>
      <c r="B12" s="47"/>
      <c r="C12" s="47"/>
      <c r="F12" s="37">
        <f>3*B2/SQRT(2)</f>
        <v>21.213203435596423</v>
      </c>
    </row>
    <row r="13" spans="1:8" ht="18" customHeight="1">
      <c r="A13" s="47" t="s">
        <v>48</v>
      </c>
      <c r="B13" s="47"/>
      <c r="C13" s="47"/>
      <c r="F13" s="28">
        <f>(F11*F11)/2</f>
        <v>24.999999999999996</v>
      </c>
    </row>
    <row r="14" spans="1:8" ht="18" customHeight="1">
      <c r="A14" s="47" t="s">
        <v>49</v>
      </c>
      <c r="B14" s="47"/>
      <c r="C14" s="47"/>
      <c r="F14" s="28">
        <f>(F12*F12)/2</f>
        <v>224.99999999999994</v>
      </c>
    </row>
    <row r="15" spans="1:8" ht="18" customHeight="1">
      <c r="A15" s="47" t="s">
        <v>50</v>
      </c>
      <c r="B15" s="47"/>
      <c r="C15" s="47"/>
      <c r="D15" s="47"/>
      <c r="E15" s="48"/>
      <c r="F15" s="38">
        <f>F13*B2</f>
        <v>249.99999999999997</v>
      </c>
    </row>
    <row r="16" spans="1:8" ht="18" customHeight="1">
      <c r="A16" s="47" t="s">
        <v>51</v>
      </c>
      <c r="B16" s="47"/>
      <c r="C16" s="47"/>
      <c r="F16" s="38">
        <f>F14*B2</f>
        <v>2249.9999999999995</v>
      </c>
    </row>
    <row r="17" spans="1:3">
      <c r="A17" s="31"/>
      <c r="B17" s="31"/>
      <c r="C17" s="31"/>
    </row>
    <row r="18" spans="1:3">
      <c r="A18" s="31"/>
      <c r="B18" s="31"/>
      <c r="C18" s="31"/>
    </row>
    <row r="19" spans="1:3" ht="19.5">
      <c r="A19" s="47"/>
      <c r="B19" s="47"/>
      <c r="C19" s="47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4D65F9-99B7-4944-A8E8-16BD4B793289}"/>
</file>

<file path=customXml/itemProps2.xml><?xml version="1.0" encoding="utf-8"?>
<ds:datastoreItem xmlns:ds="http://schemas.openxmlformats.org/officeDocument/2006/customXml" ds:itemID="{4015E412-7C08-4728-B3DD-E364A876683D}"/>
</file>

<file path=customXml/itemProps3.xml><?xml version="1.0" encoding="utf-8"?>
<ds:datastoreItem xmlns:ds="http://schemas.openxmlformats.org/officeDocument/2006/customXml" ds:itemID="{8AFE6B15-34C2-46CF-959E-35A7C7B9C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aija_</dc:creator>
  <cp:keywords/>
  <dc:description/>
  <cp:lastModifiedBy/>
  <cp:revision/>
  <dcterms:created xsi:type="dcterms:W3CDTF">2021-10-27T13:59:32Z</dcterms:created>
  <dcterms:modified xsi:type="dcterms:W3CDTF">2025-12-11T14:20:49Z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